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mi\OneDrive\Desktop\projects\"/>
    </mc:Choice>
  </mc:AlternateContent>
  <xr:revisionPtr revIDLastSave="0" documentId="13_ncr:1_{AB0FCF8B-08D0-4D4C-AE81-0EC65612E465}" xr6:coauthVersionLast="47" xr6:coauthVersionMax="47" xr10:uidLastSave="{00000000-0000-0000-0000-000000000000}"/>
  <bookViews>
    <workbookView xWindow="-120" yWindow="-120" windowWidth="20730" windowHeight="11040" activeTab="2" xr2:uid="{228C196D-F20A-4F61-9B02-7AADD86310E8}"/>
  </bookViews>
  <sheets>
    <sheet name="Raw_Data" sheetId="1" r:id="rId1"/>
    <sheet name="Analysis" sheetId="2" r:id="rId2"/>
    <sheet name="dashboar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I4" i="3" s="1"/>
  <c r="B4" i="2"/>
  <c r="B3" i="2"/>
  <c r="F4" i="3" s="1"/>
  <c r="B2" i="2"/>
  <c r="A4" i="3" s="1"/>
  <c r="B1" i="2"/>
  <c r="C4" i="3" s="1"/>
</calcChain>
</file>

<file path=xl/sharedStrings.xml><?xml version="1.0" encoding="utf-8"?>
<sst xmlns="http://schemas.openxmlformats.org/spreadsheetml/2006/main" count="84" uniqueCount="48">
  <si>
    <t>Position</t>
  </si>
  <si>
    <t>Team</t>
  </si>
  <si>
    <t>Age</t>
  </si>
  <si>
    <t>Speed Score</t>
  </si>
  <si>
    <t>Yards</t>
  </si>
  <si>
    <t>Touchdowns</t>
  </si>
  <si>
    <t>Games Played</t>
  </si>
  <si>
    <t>Player Name</t>
  </si>
  <si>
    <t>Darius Harris</t>
  </si>
  <si>
    <t>Malik Brown</t>
  </si>
  <si>
    <t>Devin Harris</t>
  </si>
  <si>
    <t>Daniel Maxey</t>
  </si>
  <si>
    <t>Leslie Brown</t>
  </si>
  <si>
    <t>Carter James</t>
  </si>
  <si>
    <t>Julio Taylor</t>
  </si>
  <si>
    <t>Fred Smith</t>
  </si>
  <si>
    <t>Joshua White</t>
  </si>
  <si>
    <t>RB</t>
  </si>
  <si>
    <t>QB</t>
  </si>
  <si>
    <t>WR</t>
  </si>
  <si>
    <t>South Delta</t>
  </si>
  <si>
    <t>Simmons</t>
  </si>
  <si>
    <t>Leland</t>
  </si>
  <si>
    <t>Strenght Score</t>
  </si>
  <si>
    <t>Mike Taylor</t>
  </si>
  <si>
    <t>Rosedale</t>
  </si>
  <si>
    <t>Shawn Wright</t>
  </si>
  <si>
    <t>Shannon Phillips</t>
  </si>
  <si>
    <t>Corey Williams</t>
  </si>
  <si>
    <t>Jimmy Shaw</t>
  </si>
  <si>
    <t>Wray Collins</t>
  </si>
  <si>
    <t>Ethan Houzah</t>
  </si>
  <si>
    <t>Quentarius Gray</t>
  </si>
  <si>
    <t>Rudy Gay</t>
  </si>
  <si>
    <t>Shaw</t>
  </si>
  <si>
    <t>Humphrey</t>
  </si>
  <si>
    <t>Malik Hunter</t>
  </si>
  <si>
    <t>Average Yards</t>
  </si>
  <si>
    <t>Total Touchdowns</t>
  </si>
  <si>
    <t>Average Speed Score</t>
  </si>
  <si>
    <t>Average Strength Score</t>
  </si>
  <si>
    <t>Total Games Played</t>
  </si>
  <si>
    <t>Football Performance Dashboard</t>
  </si>
  <si>
    <t>Average Speed</t>
  </si>
  <si>
    <t>Count</t>
  </si>
  <si>
    <t>Column1</t>
  </si>
  <si>
    <t>Column2</t>
  </si>
  <si>
    <r>
      <t xml:space="preserve">                                                                                                     </t>
    </r>
    <r>
      <rPr>
        <b/>
        <sz val="20"/>
        <color theme="4" tint="0.59999389629810485"/>
        <rFont val="Aptos Narrow"/>
        <family val="2"/>
        <scheme val="minor"/>
      </rPr>
      <t>Delta High School Football Teams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</si>
</sst>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1"/>
      <name val="Aptos Narrow"/>
      <family val="2"/>
      <scheme val="minor"/>
    </font>
    <font>
      <b/>
      <sz val="28"/>
      <color rgb="FFFFFF00"/>
      <name val="Aptos Narrow"/>
      <family val="2"/>
      <scheme val="minor"/>
    </font>
    <font>
      <b/>
      <sz val="20"/>
      <color theme="8" tint="-0.249977111117893"/>
      <name val="Aptos Narrow"/>
      <family val="2"/>
      <scheme val="minor"/>
    </font>
    <font>
      <b/>
      <sz val="20"/>
      <color theme="4" tint="0.59999389629810485"/>
      <name val="Aptos Narrow"/>
      <family val="2"/>
      <scheme val="minor"/>
    </font>
    <font>
      <b/>
      <sz val="20"/>
      <name val="Times New Roman"/>
      <family val="1"/>
    </font>
    <font>
      <b/>
      <sz val="2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3" fillId="3" borderId="0" xfId="0" applyFont="1" applyFill="1" applyAlignment="1"/>
    <xf numFmtId="0" fontId="5" fillId="3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Player Yard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09466718580344"/>
          <c:y val="9.850561889273568E-2"/>
          <c:w val="0.75240980049638861"/>
          <c:h val="0.8356649300671421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Raw_Data!$G$3</c:f>
              <c:strCache>
                <c:ptCount val="1"/>
                <c:pt idx="0">
                  <c:v>Yards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Raw_Data!$A$4:$A$22</c:f>
              <c:strCache>
                <c:ptCount val="19"/>
                <c:pt idx="0">
                  <c:v>Darius Harris</c:v>
                </c:pt>
                <c:pt idx="1">
                  <c:v>Malik Brown</c:v>
                </c:pt>
                <c:pt idx="2">
                  <c:v>Devin Harris</c:v>
                </c:pt>
                <c:pt idx="3">
                  <c:v>Daniel Maxey</c:v>
                </c:pt>
                <c:pt idx="4">
                  <c:v>Leslie Brown</c:v>
                </c:pt>
                <c:pt idx="5">
                  <c:v>Carter James</c:v>
                </c:pt>
                <c:pt idx="6">
                  <c:v>Julio Taylor</c:v>
                </c:pt>
                <c:pt idx="7">
                  <c:v>Fred Smith</c:v>
                </c:pt>
                <c:pt idx="8">
                  <c:v>Joshua White</c:v>
                </c:pt>
                <c:pt idx="9">
                  <c:v>Mike Taylor</c:v>
                </c:pt>
                <c:pt idx="10">
                  <c:v>Shawn Wright</c:v>
                </c:pt>
                <c:pt idx="11">
                  <c:v>Malik Hunter</c:v>
                </c:pt>
                <c:pt idx="12">
                  <c:v>Shannon Phillips</c:v>
                </c:pt>
                <c:pt idx="13">
                  <c:v>Corey Williams</c:v>
                </c:pt>
                <c:pt idx="14">
                  <c:v>Jimmy Shaw</c:v>
                </c:pt>
                <c:pt idx="15">
                  <c:v>Wray Collins</c:v>
                </c:pt>
                <c:pt idx="16">
                  <c:v>Ethan Houzah</c:v>
                </c:pt>
                <c:pt idx="17">
                  <c:v>Quentarius Gray</c:v>
                </c:pt>
                <c:pt idx="18">
                  <c:v>Rudy Gay</c:v>
                </c:pt>
              </c:strCache>
            </c:strRef>
          </c:cat>
          <c:val>
            <c:numRef>
              <c:f>Raw_Data!$G$4:$G$22</c:f>
              <c:numCache>
                <c:formatCode>General</c:formatCode>
                <c:ptCount val="19"/>
                <c:pt idx="0">
                  <c:v>1100</c:v>
                </c:pt>
                <c:pt idx="1">
                  <c:v>1600</c:v>
                </c:pt>
                <c:pt idx="2">
                  <c:v>750</c:v>
                </c:pt>
                <c:pt idx="3">
                  <c:v>2500</c:v>
                </c:pt>
                <c:pt idx="4">
                  <c:v>780</c:v>
                </c:pt>
                <c:pt idx="5">
                  <c:v>700</c:v>
                </c:pt>
                <c:pt idx="6">
                  <c:v>990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810</c:v>
                </c:pt>
                <c:pt idx="11">
                  <c:v>610</c:v>
                </c:pt>
                <c:pt idx="12">
                  <c:v>1200</c:v>
                </c:pt>
                <c:pt idx="13">
                  <c:v>990</c:v>
                </c:pt>
                <c:pt idx="14">
                  <c:v>822</c:v>
                </c:pt>
                <c:pt idx="15">
                  <c:v>590</c:v>
                </c:pt>
                <c:pt idx="16">
                  <c:v>744</c:v>
                </c:pt>
                <c:pt idx="17">
                  <c:v>892</c:v>
                </c:pt>
                <c:pt idx="18">
                  <c:v>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3E-49C8-A5CA-5C277A770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6262591"/>
        <c:axId val="1436254911"/>
      </c:barChart>
      <c:catAx>
        <c:axId val="1436262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54911"/>
        <c:crosses val="autoZero"/>
        <c:auto val="1"/>
        <c:lblAlgn val="ctr"/>
        <c:lblOffset val="100"/>
        <c:noMultiLvlLbl val="0"/>
      </c:catAx>
      <c:valAx>
        <c:axId val="143625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262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u="none"/>
              <a:t>Player Touchdown Comparison</a:t>
            </a:r>
          </a:p>
        </c:rich>
      </c:tx>
      <c:layout>
        <c:manualLayout>
          <c:xMode val="edge"/>
          <c:yMode val="edge"/>
          <c:x val="0.2554652230971128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Raw_Data!$H$3</c:f>
              <c:strCache>
                <c:ptCount val="1"/>
                <c:pt idx="0">
                  <c:v>Touchdowns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Raw_Data!$A$4:$A$22</c:f>
              <c:strCache>
                <c:ptCount val="19"/>
                <c:pt idx="0">
                  <c:v>Darius Harris</c:v>
                </c:pt>
                <c:pt idx="1">
                  <c:v>Malik Brown</c:v>
                </c:pt>
                <c:pt idx="2">
                  <c:v>Devin Harris</c:v>
                </c:pt>
                <c:pt idx="3">
                  <c:v>Daniel Maxey</c:v>
                </c:pt>
                <c:pt idx="4">
                  <c:v>Leslie Brown</c:v>
                </c:pt>
                <c:pt idx="5">
                  <c:v>Carter James</c:v>
                </c:pt>
                <c:pt idx="6">
                  <c:v>Julio Taylor</c:v>
                </c:pt>
                <c:pt idx="7">
                  <c:v>Fred Smith</c:v>
                </c:pt>
                <c:pt idx="8">
                  <c:v>Joshua White</c:v>
                </c:pt>
                <c:pt idx="9">
                  <c:v>Mike Taylor</c:v>
                </c:pt>
                <c:pt idx="10">
                  <c:v>Shawn Wright</c:v>
                </c:pt>
                <c:pt idx="11">
                  <c:v>Malik Hunter</c:v>
                </c:pt>
                <c:pt idx="12">
                  <c:v>Shannon Phillips</c:v>
                </c:pt>
                <c:pt idx="13">
                  <c:v>Corey Williams</c:v>
                </c:pt>
                <c:pt idx="14">
                  <c:v>Jimmy Shaw</c:v>
                </c:pt>
                <c:pt idx="15">
                  <c:v>Wray Collins</c:v>
                </c:pt>
                <c:pt idx="16">
                  <c:v>Ethan Houzah</c:v>
                </c:pt>
                <c:pt idx="17">
                  <c:v>Quentarius Gray</c:v>
                </c:pt>
                <c:pt idx="18">
                  <c:v>Rudy Gay</c:v>
                </c:pt>
              </c:strCache>
            </c:strRef>
          </c:cat>
          <c:val>
            <c:numRef>
              <c:f>Raw_Data!$H$4:$H$22</c:f>
              <c:numCache>
                <c:formatCode>General</c:formatCode>
                <c:ptCount val="19"/>
                <c:pt idx="0">
                  <c:v>26</c:v>
                </c:pt>
                <c:pt idx="1">
                  <c:v>17</c:v>
                </c:pt>
                <c:pt idx="2">
                  <c:v>13</c:v>
                </c:pt>
                <c:pt idx="3">
                  <c:v>19</c:v>
                </c:pt>
                <c:pt idx="4">
                  <c:v>11</c:v>
                </c:pt>
                <c:pt idx="5">
                  <c:v>16</c:v>
                </c:pt>
                <c:pt idx="6">
                  <c:v>12</c:v>
                </c:pt>
                <c:pt idx="7">
                  <c:v>9</c:v>
                </c:pt>
                <c:pt idx="8">
                  <c:v>17</c:v>
                </c:pt>
                <c:pt idx="9">
                  <c:v>6</c:v>
                </c:pt>
                <c:pt idx="10">
                  <c:v>7</c:v>
                </c:pt>
                <c:pt idx="11">
                  <c:v>10</c:v>
                </c:pt>
                <c:pt idx="12">
                  <c:v>20</c:v>
                </c:pt>
                <c:pt idx="13">
                  <c:v>12</c:v>
                </c:pt>
                <c:pt idx="14">
                  <c:v>6</c:v>
                </c:pt>
                <c:pt idx="15">
                  <c:v>14</c:v>
                </c:pt>
                <c:pt idx="16">
                  <c:v>5</c:v>
                </c:pt>
                <c:pt idx="17">
                  <c:v>7</c:v>
                </c:pt>
                <c:pt idx="1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9A-456C-96E8-0F129D240C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82543"/>
        <c:axId val="1432485903"/>
      </c:barChart>
      <c:catAx>
        <c:axId val="143248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85903"/>
        <c:crosses val="autoZero"/>
        <c:auto val="1"/>
        <c:lblAlgn val="ctr"/>
        <c:lblOffset val="100"/>
        <c:noMultiLvlLbl val="0"/>
      </c:catAx>
      <c:valAx>
        <c:axId val="143248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48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Player Position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6D4-4885-9B1D-FF5045BBF23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6D4-4885-9B1D-FF5045BBF23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6D4-4885-9B1D-FF5045BBF23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6D4-4885-9B1D-FF5045BBF23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6D4-4885-9B1D-FF5045BBF23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6D4-4885-9B1D-FF5045BBF23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Raw_Data!$K$4:$K$10</c:f>
              <c:strCache>
                <c:ptCount val="7"/>
                <c:pt idx="0">
                  <c:v>Position</c:v>
                </c:pt>
                <c:pt idx="2">
                  <c:v>QB</c:v>
                </c:pt>
                <c:pt idx="4">
                  <c:v>RB</c:v>
                </c:pt>
                <c:pt idx="6">
                  <c:v>WR</c:v>
                </c:pt>
              </c:strCache>
            </c:strRef>
          </c:cat>
          <c:val>
            <c:numRef>
              <c:f>Raw_Data!$L$4:$L$10</c:f>
              <c:numCache>
                <c:formatCode>General</c:formatCode>
                <c:ptCount val="7"/>
                <c:pt idx="0">
                  <c:v>0</c:v>
                </c:pt>
                <c:pt idx="2">
                  <c:v>7</c:v>
                </c:pt>
                <c:pt idx="4">
                  <c:v>6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D4-4885-9B1D-FF5045BBF231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</xdr:colOff>
      <xdr:row>6</xdr:row>
      <xdr:rowOff>152400</xdr:rowOff>
    </xdr:from>
    <xdr:to>
      <xdr:col>8</xdr:col>
      <xdr:colOff>269875</xdr:colOff>
      <xdr:row>33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7F8754-3512-4647-A91B-287E4DD41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542329</xdr:colOff>
      <xdr:row>6</xdr:row>
      <xdr:rowOff>192880</xdr:rowOff>
    </xdr:from>
    <xdr:to>
      <xdr:col>20</xdr:col>
      <xdr:colOff>312538</xdr:colOff>
      <xdr:row>30</xdr:row>
      <xdr:rowOff>148828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69C73C-902E-4008-A7DE-4D7F8DB0F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148827</xdr:colOff>
      <xdr:row>31</xdr:row>
      <xdr:rowOff>163711</xdr:rowOff>
    </xdr:from>
    <xdr:to>
      <xdr:col>14</xdr:col>
      <xdr:colOff>449460</xdr:colOff>
      <xdr:row>63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67CB67-B11C-47BC-9597-D9611506C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AAE7A5-A5B1-49A3-A320-133362132F2F}" name="Table1" displayName="Table1" ref="A3:I22" totalsRowShown="0" headerRowDxfId="0">
  <autoFilter ref="A3:I22" xr:uid="{34AAE7A5-A5B1-49A3-A320-133362132F2F}"/>
  <tableColumns count="9">
    <tableColumn id="1" xr3:uid="{A86AAEF4-C563-413F-AF4C-846491CF1059}" name="Player Name"/>
    <tableColumn id="2" xr3:uid="{43B825C1-E03F-476C-BEDA-9372D4F2D552}" name="Position"/>
    <tableColumn id="3" xr3:uid="{FD2C16EB-E5EA-4AD8-8B20-0D2A3F93B7BC}" name="Team"/>
    <tableColumn id="4" xr3:uid="{D072AF12-18DB-4E45-8E1E-2E278DED1ABB}" name="Age"/>
    <tableColumn id="5" xr3:uid="{7E90C146-B925-4A35-9341-EF99B3B22CC8}" name="Speed Score"/>
    <tableColumn id="6" xr3:uid="{671285B1-D9E6-4D00-80D1-6590FE4D569D}" name="Strenght Score"/>
    <tableColumn id="7" xr3:uid="{EE2C279C-56FD-4214-B157-84E302A6E72D}" name="Yards"/>
    <tableColumn id="8" xr3:uid="{B18B498B-D4BB-4868-A229-5B79684DC65E}" name="Touchdowns"/>
    <tableColumn id="9" xr3:uid="{EC60735E-3C6A-468C-A72B-EEF701940CF0}" name="Games Played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B42B0A-E598-4523-A612-2D62AD54BBF0}" name="Table4" displayName="Table4" ref="K3:L10" totalsRowShown="0">
  <autoFilter ref="K3:L10" xr:uid="{DFB42B0A-E598-4523-A612-2D62AD54BBF0}"/>
  <tableColumns count="2">
    <tableColumn id="1" xr3:uid="{D733A84D-CEF8-4662-9EF7-8F9646120FA1}" name="Column1"/>
    <tableColumn id="2" xr3:uid="{A69E9E11-771B-4D63-8F75-06A28C4B7683}" name="Column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E94E-62B9-4091-AA21-BF2E496D31B7}">
  <dimension ref="A1:L22"/>
  <sheetViews>
    <sheetView zoomScale="89" zoomScaleNormal="89" workbookViewId="0">
      <selection activeCell="R10" sqref="R10"/>
    </sheetView>
  </sheetViews>
  <sheetFormatPr defaultRowHeight="15" x14ac:dyDescent="0.25"/>
  <cols>
    <col min="1" max="1" width="14.5703125" customWidth="1"/>
    <col min="2" max="2" width="9.42578125" customWidth="1"/>
    <col min="3" max="3" width="11" bestFit="1" customWidth="1"/>
    <col min="4" max="4" width="5.85546875" customWidth="1"/>
    <col min="5" max="5" width="14.5703125" bestFit="1" customWidth="1"/>
    <col min="6" max="6" width="14.85546875" customWidth="1"/>
    <col min="7" max="7" width="7.42578125" customWidth="1"/>
    <col min="8" max="8" width="13.140625" customWidth="1"/>
    <col min="9" max="9" width="16.140625" bestFit="1" customWidth="1"/>
    <col min="11" max="12" width="11.140625" customWidth="1"/>
  </cols>
  <sheetData>
    <row r="1" spans="1:12" s="6" customFormat="1" ht="29.25" customHeight="1" x14ac:dyDescent="0.25">
      <c r="A1" s="6" t="s">
        <v>47</v>
      </c>
    </row>
    <row r="2" spans="1:12" s="6" customFormat="1" ht="15" customHeight="1" x14ac:dyDescent="0.25"/>
    <row r="3" spans="1:12" x14ac:dyDescent="0.25">
      <c r="A3" s="1" t="s">
        <v>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23</v>
      </c>
      <c r="G3" s="1" t="s">
        <v>4</v>
      </c>
      <c r="H3" s="1" t="s">
        <v>5</v>
      </c>
      <c r="I3" s="1" t="s">
        <v>6</v>
      </c>
      <c r="K3" t="s">
        <v>45</v>
      </c>
      <c r="L3" t="s">
        <v>46</v>
      </c>
    </row>
    <row r="4" spans="1:12" x14ac:dyDescent="0.25">
      <c r="A4" t="s">
        <v>8</v>
      </c>
      <c r="B4" t="s">
        <v>17</v>
      </c>
      <c r="C4" t="s">
        <v>20</v>
      </c>
      <c r="D4">
        <v>17</v>
      </c>
      <c r="E4">
        <v>10</v>
      </c>
      <c r="F4">
        <v>9</v>
      </c>
      <c r="G4">
        <v>1100</v>
      </c>
      <c r="H4">
        <v>26</v>
      </c>
      <c r="I4">
        <v>12</v>
      </c>
      <c r="K4" t="s">
        <v>0</v>
      </c>
      <c r="L4" t="s">
        <v>44</v>
      </c>
    </row>
    <row r="5" spans="1:12" x14ac:dyDescent="0.25">
      <c r="A5" t="s">
        <v>9</v>
      </c>
      <c r="B5" t="s">
        <v>18</v>
      </c>
      <c r="C5" t="s">
        <v>21</v>
      </c>
      <c r="D5">
        <v>16</v>
      </c>
      <c r="E5">
        <v>9</v>
      </c>
      <c r="F5">
        <v>10</v>
      </c>
      <c r="G5">
        <v>1600</v>
      </c>
      <c r="H5">
        <v>17</v>
      </c>
      <c r="I5">
        <v>10</v>
      </c>
    </row>
    <row r="6" spans="1:12" x14ac:dyDescent="0.25">
      <c r="A6" t="s">
        <v>10</v>
      </c>
      <c r="B6" t="s">
        <v>19</v>
      </c>
      <c r="C6" t="s">
        <v>22</v>
      </c>
      <c r="D6">
        <v>16</v>
      </c>
      <c r="E6">
        <v>8</v>
      </c>
      <c r="F6">
        <v>8</v>
      </c>
      <c r="G6">
        <v>750</v>
      </c>
      <c r="H6">
        <v>13</v>
      </c>
      <c r="I6">
        <v>7</v>
      </c>
      <c r="K6" t="s">
        <v>18</v>
      </c>
      <c r="L6">
        <v>7</v>
      </c>
    </row>
    <row r="7" spans="1:12" x14ac:dyDescent="0.25">
      <c r="A7" t="s">
        <v>11</v>
      </c>
      <c r="B7" t="s">
        <v>18</v>
      </c>
      <c r="C7" t="s">
        <v>34</v>
      </c>
      <c r="D7">
        <v>17</v>
      </c>
      <c r="E7">
        <v>10</v>
      </c>
      <c r="F7">
        <v>8</v>
      </c>
      <c r="G7">
        <v>2500</v>
      </c>
      <c r="H7">
        <v>19</v>
      </c>
      <c r="I7">
        <v>10</v>
      </c>
    </row>
    <row r="8" spans="1:12" x14ac:dyDescent="0.25">
      <c r="A8" t="s">
        <v>12</v>
      </c>
      <c r="B8" t="s">
        <v>17</v>
      </c>
      <c r="C8" t="s">
        <v>25</v>
      </c>
      <c r="D8">
        <v>16</v>
      </c>
      <c r="E8">
        <v>8</v>
      </c>
      <c r="F8">
        <v>8</v>
      </c>
      <c r="G8">
        <v>780</v>
      </c>
      <c r="H8">
        <v>11</v>
      </c>
      <c r="I8">
        <v>10</v>
      </c>
      <c r="K8" t="s">
        <v>17</v>
      </c>
      <c r="L8">
        <v>6</v>
      </c>
    </row>
    <row r="9" spans="1:12" x14ac:dyDescent="0.25">
      <c r="A9" t="s">
        <v>13</v>
      </c>
      <c r="B9" t="s">
        <v>18</v>
      </c>
      <c r="C9" t="s">
        <v>35</v>
      </c>
      <c r="D9">
        <v>16</v>
      </c>
      <c r="E9">
        <v>8</v>
      </c>
      <c r="F9">
        <v>7</v>
      </c>
      <c r="G9">
        <v>700</v>
      </c>
      <c r="H9">
        <v>16</v>
      </c>
      <c r="I9">
        <v>12</v>
      </c>
    </row>
    <row r="10" spans="1:12" x14ac:dyDescent="0.25">
      <c r="A10" t="s">
        <v>14</v>
      </c>
      <c r="B10" t="s">
        <v>19</v>
      </c>
      <c r="C10" t="s">
        <v>20</v>
      </c>
      <c r="D10">
        <v>17</v>
      </c>
      <c r="E10">
        <v>9</v>
      </c>
      <c r="F10">
        <v>10</v>
      </c>
      <c r="G10">
        <v>990</v>
      </c>
      <c r="H10">
        <v>12</v>
      </c>
      <c r="I10">
        <v>9</v>
      </c>
      <c r="K10" t="s">
        <v>19</v>
      </c>
      <c r="L10">
        <v>6</v>
      </c>
    </row>
    <row r="11" spans="1:12" x14ac:dyDescent="0.25">
      <c r="A11" t="s">
        <v>15</v>
      </c>
      <c r="B11" t="s">
        <v>19</v>
      </c>
      <c r="C11" t="s">
        <v>21</v>
      </c>
      <c r="D11">
        <v>16</v>
      </c>
      <c r="E11">
        <v>7</v>
      </c>
      <c r="F11">
        <v>9</v>
      </c>
      <c r="G11">
        <v>800</v>
      </c>
      <c r="H11">
        <v>9</v>
      </c>
      <c r="I11">
        <v>8</v>
      </c>
    </row>
    <row r="12" spans="1:12" x14ac:dyDescent="0.25">
      <c r="A12" t="s">
        <v>16</v>
      </c>
      <c r="B12" t="s">
        <v>17</v>
      </c>
      <c r="C12" t="s">
        <v>22</v>
      </c>
      <c r="D12">
        <v>17</v>
      </c>
      <c r="E12">
        <v>7</v>
      </c>
      <c r="F12">
        <v>9</v>
      </c>
      <c r="G12">
        <v>900</v>
      </c>
      <c r="H12">
        <v>17</v>
      </c>
      <c r="I12">
        <v>11</v>
      </c>
    </row>
    <row r="13" spans="1:12" x14ac:dyDescent="0.25">
      <c r="A13" t="s">
        <v>24</v>
      </c>
      <c r="B13" t="s">
        <v>17</v>
      </c>
      <c r="C13" t="s">
        <v>34</v>
      </c>
      <c r="D13">
        <v>18</v>
      </c>
      <c r="E13">
        <v>8</v>
      </c>
      <c r="F13">
        <v>8</v>
      </c>
      <c r="G13">
        <v>1000</v>
      </c>
      <c r="H13">
        <v>6</v>
      </c>
      <c r="I13">
        <v>9</v>
      </c>
    </row>
    <row r="14" spans="1:12" x14ac:dyDescent="0.25">
      <c r="A14" t="s">
        <v>26</v>
      </c>
      <c r="B14" t="s">
        <v>18</v>
      </c>
      <c r="C14" t="s">
        <v>25</v>
      </c>
      <c r="D14">
        <v>18</v>
      </c>
      <c r="E14">
        <v>10</v>
      </c>
      <c r="F14">
        <v>7</v>
      </c>
      <c r="G14">
        <v>810</v>
      </c>
      <c r="H14">
        <v>7</v>
      </c>
      <c r="I14">
        <v>10</v>
      </c>
    </row>
    <row r="15" spans="1:12" x14ac:dyDescent="0.25">
      <c r="A15" t="s">
        <v>36</v>
      </c>
      <c r="B15" t="s">
        <v>19</v>
      </c>
      <c r="C15" t="s">
        <v>35</v>
      </c>
      <c r="D15">
        <v>16</v>
      </c>
      <c r="E15">
        <v>10</v>
      </c>
      <c r="F15">
        <v>7</v>
      </c>
      <c r="G15">
        <v>610</v>
      </c>
      <c r="H15">
        <v>10</v>
      </c>
      <c r="I15">
        <v>12</v>
      </c>
    </row>
    <row r="16" spans="1:12" x14ac:dyDescent="0.25">
      <c r="A16" t="s">
        <v>27</v>
      </c>
      <c r="B16" t="s">
        <v>18</v>
      </c>
      <c r="C16" t="s">
        <v>20</v>
      </c>
      <c r="D16">
        <v>17</v>
      </c>
      <c r="E16">
        <v>9</v>
      </c>
      <c r="F16">
        <v>9</v>
      </c>
      <c r="G16">
        <v>1200</v>
      </c>
      <c r="H16">
        <v>20</v>
      </c>
      <c r="I16">
        <v>12</v>
      </c>
    </row>
    <row r="17" spans="1:9" x14ac:dyDescent="0.25">
      <c r="A17" t="s">
        <v>28</v>
      </c>
      <c r="B17" t="s">
        <v>17</v>
      </c>
      <c r="C17" t="s">
        <v>21</v>
      </c>
      <c r="D17">
        <v>17</v>
      </c>
      <c r="E17">
        <v>7</v>
      </c>
      <c r="F17">
        <v>10</v>
      </c>
      <c r="G17">
        <v>990</v>
      </c>
      <c r="H17">
        <v>12</v>
      </c>
      <c r="I17">
        <v>8</v>
      </c>
    </row>
    <row r="18" spans="1:9" x14ac:dyDescent="0.25">
      <c r="A18" t="s">
        <v>29</v>
      </c>
      <c r="B18" t="s">
        <v>18</v>
      </c>
      <c r="C18" t="s">
        <v>22</v>
      </c>
      <c r="D18">
        <v>18</v>
      </c>
      <c r="E18">
        <v>8</v>
      </c>
      <c r="F18">
        <v>8</v>
      </c>
      <c r="G18">
        <v>822</v>
      </c>
      <c r="H18">
        <v>6</v>
      </c>
      <c r="I18">
        <v>8</v>
      </c>
    </row>
    <row r="19" spans="1:9" x14ac:dyDescent="0.25">
      <c r="A19" t="s">
        <v>30</v>
      </c>
      <c r="B19" t="s">
        <v>19</v>
      </c>
      <c r="C19" t="s">
        <v>34</v>
      </c>
      <c r="D19">
        <v>16</v>
      </c>
      <c r="E19">
        <v>9</v>
      </c>
      <c r="F19">
        <v>8</v>
      </c>
      <c r="G19">
        <v>590</v>
      </c>
      <c r="H19">
        <v>14</v>
      </c>
      <c r="I19">
        <v>9</v>
      </c>
    </row>
    <row r="20" spans="1:9" x14ac:dyDescent="0.25">
      <c r="A20" t="s">
        <v>31</v>
      </c>
      <c r="B20" t="s">
        <v>19</v>
      </c>
      <c r="C20" t="s">
        <v>25</v>
      </c>
      <c r="D20">
        <v>16</v>
      </c>
      <c r="E20">
        <v>8</v>
      </c>
      <c r="F20">
        <v>7</v>
      </c>
      <c r="G20">
        <v>744</v>
      </c>
      <c r="H20">
        <v>5</v>
      </c>
      <c r="I20">
        <v>10</v>
      </c>
    </row>
    <row r="21" spans="1:9" x14ac:dyDescent="0.25">
      <c r="A21" t="s">
        <v>32</v>
      </c>
      <c r="B21" t="s">
        <v>17</v>
      </c>
      <c r="C21" t="s">
        <v>35</v>
      </c>
      <c r="D21">
        <v>18</v>
      </c>
      <c r="E21">
        <v>8</v>
      </c>
      <c r="F21">
        <v>10</v>
      </c>
      <c r="G21">
        <v>892</v>
      </c>
      <c r="H21">
        <v>7</v>
      </c>
      <c r="I21">
        <v>11</v>
      </c>
    </row>
    <row r="22" spans="1:9" x14ac:dyDescent="0.25">
      <c r="A22" t="s">
        <v>33</v>
      </c>
      <c r="B22" t="s">
        <v>18</v>
      </c>
      <c r="C22" t="s">
        <v>20</v>
      </c>
      <c r="D22">
        <v>17</v>
      </c>
      <c r="E22">
        <v>9</v>
      </c>
      <c r="F22">
        <v>10</v>
      </c>
      <c r="G22">
        <v>730</v>
      </c>
      <c r="H22">
        <v>8</v>
      </c>
      <c r="I22">
        <v>7</v>
      </c>
    </row>
  </sheetData>
  <mergeCells count="1">
    <mergeCell ref="A1:XFD2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9F6B-0904-482A-86F7-4E4BF6779135}">
  <dimension ref="A1:B5"/>
  <sheetViews>
    <sheetView workbookViewId="0">
      <selection activeCell="F9" sqref="F9"/>
    </sheetView>
  </sheetViews>
  <sheetFormatPr defaultRowHeight="15" x14ac:dyDescent="0.25"/>
  <cols>
    <col min="1" max="1" width="21" bestFit="1" customWidth="1"/>
  </cols>
  <sheetData>
    <row r="1" spans="1:2" x14ac:dyDescent="0.25">
      <c r="A1" t="s">
        <v>37</v>
      </c>
      <c r="B1">
        <f>AVERAGE(Raw_Data!G:G)</f>
        <v>974.10526315789468</v>
      </c>
    </row>
    <row r="2" spans="1:2" x14ac:dyDescent="0.25">
      <c r="A2" t="s">
        <v>38</v>
      </c>
      <c r="B2">
        <f>SUM(Raw_Data!H:H)</f>
        <v>235</v>
      </c>
    </row>
    <row r="3" spans="1:2" x14ac:dyDescent="0.25">
      <c r="A3" t="s">
        <v>39</v>
      </c>
      <c r="B3">
        <f>AVERAGE(Raw_Data!E:E)</f>
        <v>8.526315789473685</v>
      </c>
    </row>
    <row r="4" spans="1:2" x14ac:dyDescent="0.25">
      <c r="A4" t="s">
        <v>40</v>
      </c>
      <c r="B4">
        <f>AVERAGE(Raw_Data!F:F)</f>
        <v>8.526315789473685</v>
      </c>
    </row>
    <row r="5" spans="1:2" x14ac:dyDescent="0.25">
      <c r="A5" t="s">
        <v>41</v>
      </c>
      <c r="B5">
        <f>SUM(Raw_Data!H:H)</f>
        <v>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BD72E-C7B5-4555-9DA1-076A601187C3}">
  <dimension ref="A1:AA4"/>
  <sheetViews>
    <sheetView tabSelected="1" zoomScale="60" zoomScaleNormal="60" workbookViewId="0">
      <selection activeCell="W10" sqref="W10"/>
    </sheetView>
  </sheetViews>
  <sheetFormatPr defaultRowHeight="15" x14ac:dyDescent="0.25"/>
  <cols>
    <col min="1" max="1" width="26.42578125" bestFit="1" customWidth="1"/>
    <col min="3" max="3" width="20" bestFit="1" customWidth="1"/>
    <col min="6" max="6" width="15.7109375" bestFit="1" customWidth="1"/>
    <col min="9" max="9" width="29.42578125" bestFit="1" customWidth="1"/>
    <col min="12" max="12" width="22.7109375" customWidth="1"/>
  </cols>
  <sheetData>
    <row r="1" spans="1:27" ht="36" x14ac:dyDescent="0.25">
      <c r="A1" s="4"/>
      <c r="B1" s="4"/>
      <c r="C1" s="4"/>
      <c r="D1" s="4"/>
      <c r="E1" s="4"/>
      <c r="F1" s="4"/>
      <c r="G1" s="4"/>
      <c r="H1" s="4"/>
      <c r="I1" s="5" t="s">
        <v>42</v>
      </c>
      <c r="J1" s="5"/>
      <c r="K1" s="5"/>
      <c r="L1" s="5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36" x14ac:dyDescent="0.25">
      <c r="A2" s="4"/>
      <c r="B2" s="4"/>
      <c r="C2" s="4"/>
      <c r="D2" s="4"/>
      <c r="E2" s="4"/>
      <c r="F2" s="4"/>
      <c r="G2" s="4"/>
      <c r="H2" s="4"/>
      <c r="I2" s="5"/>
      <c r="J2" s="5"/>
      <c r="K2" s="5"/>
      <c r="L2" s="5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26.25" x14ac:dyDescent="0.4">
      <c r="A3" s="7" t="s">
        <v>38</v>
      </c>
      <c r="B3" s="3"/>
      <c r="C3" s="8" t="s">
        <v>37</v>
      </c>
      <c r="D3" s="3"/>
      <c r="E3" s="3"/>
      <c r="F3" s="7" t="s">
        <v>43</v>
      </c>
      <c r="G3" s="3"/>
      <c r="H3" s="3"/>
      <c r="I3" s="7" t="s">
        <v>41</v>
      </c>
    </row>
    <row r="4" spans="1:27" ht="24" x14ac:dyDescent="0.4">
      <c r="A4" s="2">
        <f>Analysis!B2</f>
        <v>235</v>
      </c>
      <c r="C4" s="2">
        <f>Analysis!B1</f>
        <v>974.10526315789468</v>
      </c>
      <c r="F4" s="2">
        <f>Analysis!B3</f>
        <v>8.526315789473685</v>
      </c>
      <c r="I4" s="2">
        <f>Analysis!B5</f>
        <v>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shaw</dc:creator>
  <cp:lastModifiedBy>jasmine shaw</cp:lastModifiedBy>
  <cp:lastPrinted>2026-05-20T00:57:38Z</cp:lastPrinted>
  <dcterms:created xsi:type="dcterms:W3CDTF">2026-05-20T00:46:26Z</dcterms:created>
  <dcterms:modified xsi:type="dcterms:W3CDTF">2026-05-22T00:37:44Z</dcterms:modified>
</cp:coreProperties>
</file>